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5"/>
    <sheet state="visible" name="VN" sheetId="2" r:id="rId6"/>
  </sheets>
  <definedNames/>
  <calcPr/>
</workbook>
</file>

<file path=xl/sharedStrings.xml><?xml version="1.0" encoding="utf-8"?>
<sst xmlns="http://schemas.openxmlformats.org/spreadsheetml/2006/main" count="195" uniqueCount="31">
  <si>
    <t>Venta Nueva 2024</t>
  </si>
  <si>
    <t>AREA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</si>
  <si>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</si>
  <si>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</si>
  <si>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</si>
  <si>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</si>
  <si>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</si>
  <si>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</si>
  <si>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</si>
  <si>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</si>
  <si>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</si>
  <si>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</si>
  <si>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</si>
  <si>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</si>
  <si>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</si>
  <si>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AFFINITY</t>
  </si>
  <si>
    <t>ANI</t>
  </si>
  <si>
    <t>AUTOS</t>
  </si>
  <si>
    <t>BENEFICIOS</t>
  </si>
  <si>
    <t>DAÑOS</t>
  </si>
  <si>
    <t>BONO</t>
  </si>
  <si>
    <t>INTERNACIONAL</t>
  </si>
  <si>
    <t>FIANZAS</t>
  </si>
  <si>
    <t>LF</t>
  </si>
  <si>
    <t>LP</t>
  </si>
  <si>
    <t>Venta Nueva 2025</t>
  </si>
  <si>
    <t>2026 Real</t>
  </si>
  <si>
    <t>Venta Nueva 2026</t>
  </si>
  <si>
    <t>Venta Nueva PTO 2026</t>
  </si>
  <si>
    <t>PTO 2026</t>
  </si>
  <si>
    <t>ÁREA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</si>
</sst>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4" fillId="0" fontId="3" numFmtId="3" xfId="0" applyAlignment="1" applyBorder="1" applyFont="1" applyNumberFormat="1">
      <alignment horizontal="center"/>
    </xf>
    <xf borderId="4" fillId="2" fontId="1" numFmtId="3" xfId="0" applyAlignment="1" applyBorder="1" applyFont="1" applyNumberFormat="1">
      <alignment horizontal="center" readingOrder="0"/>
    </xf>
    <xf borderId="0" fillId="0" fontId="3" numFmtId="3" xfId="0" applyFont="1" applyNumberFormat="1"/>
    <xf borderId="0" fillId="0" fontId="3" numFmtId="0" xfId="0" applyFon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>
        <v>2024.0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5" t="s">
        <v>15</v>
      </c>
      <c r="B3" s="6"/>
      <c r="C3" s="5">
        <v>11624.0</v>
      </c>
      <c r="D3" s="5">
        <v>1396.0</v>
      </c>
      <c r="E3" s="5">
        <v>6179.0</v>
      </c>
      <c r="F3" s="5">
        <v>7011.0</v>
      </c>
      <c r="G3" s="5">
        <v>5391.0</v>
      </c>
      <c r="H3" s="5">
        <v>7257.0</v>
      </c>
      <c r="I3" s="5">
        <v>4627.0</v>
      </c>
      <c r="J3" s="5">
        <v>985.0</v>
      </c>
      <c r="K3" s="5">
        <v>3610.0</v>
      </c>
      <c r="L3" s="5">
        <v>865.0</v>
      </c>
      <c r="M3" s="5">
        <v>3983.0</v>
      </c>
      <c r="N3" s="5">
        <f t="shared" ref="N3:N12" si="1">SUM(B3:M3)</f>
        <v>52928</v>
      </c>
    </row>
    <row r="4">
      <c r="A4" s="5" t="s">
        <v>16</v>
      </c>
      <c r="B4" s="5">
        <v>513.0</v>
      </c>
      <c r="C4" s="5">
        <v>1271.0</v>
      </c>
      <c r="D4" s="5">
        <v>34242.0</v>
      </c>
      <c r="E4" s="5">
        <v>32441.0</v>
      </c>
      <c r="F4" s="5">
        <v>20834.0</v>
      </c>
      <c r="G4" s="5">
        <v>51232.0</v>
      </c>
      <c r="H4" s="5">
        <v>105873.0</v>
      </c>
      <c r="I4" s="5">
        <v>81029.0</v>
      </c>
      <c r="J4" s="5">
        <v>74692.0</v>
      </c>
      <c r="K4" s="5">
        <v>83044.0</v>
      </c>
      <c r="L4" s="5">
        <v>152044.0</v>
      </c>
      <c r="M4" s="5">
        <v>99393.0</v>
      </c>
      <c r="N4" s="5">
        <f t="shared" si="1"/>
        <v>736608</v>
      </c>
    </row>
    <row r="5">
      <c r="A5" s="5" t="s">
        <v>17</v>
      </c>
      <c r="B5" s="5">
        <v>138677.0</v>
      </c>
      <c r="C5" s="5">
        <v>1154580.0</v>
      </c>
      <c r="D5" s="5">
        <v>293330.0</v>
      </c>
      <c r="E5" s="5">
        <v>337969.0</v>
      </c>
      <c r="F5" s="5">
        <v>143031.0</v>
      </c>
      <c r="G5" s="5">
        <v>313098.0</v>
      </c>
      <c r="H5" s="5">
        <v>762228.0</v>
      </c>
      <c r="I5" s="5">
        <v>275922.0</v>
      </c>
      <c r="J5" s="5">
        <v>511130.0</v>
      </c>
      <c r="K5" s="5">
        <v>201711.0</v>
      </c>
      <c r="L5" s="5">
        <v>261059.0</v>
      </c>
      <c r="M5" s="5">
        <v>621787.0</v>
      </c>
      <c r="N5" s="5">
        <f t="shared" si="1"/>
        <v>5014522</v>
      </c>
    </row>
    <row r="6">
      <c r="A6" s="5" t="s">
        <v>18</v>
      </c>
      <c r="B6" s="5">
        <v>2501929.0</v>
      </c>
      <c r="C6" s="5">
        <v>3131474.0</v>
      </c>
      <c r="D6" s="5">
        <v>149743.0</v>
      </c>
      <c r="E6" s="5">
        <v>4890473.0</v>
      </c>
      <c r="F6" s="5">
        <v>4418395.0</v>
      </c>
      <c r="G6" s="5">
        <v>3490144.0</v>
      </c>
      <c r="H6" s="5">
        <v>1247261.0</v>
      </c>
      <c r="I6" s="5">
        <v>2034926.0</v>
      </c>
      <c r="J6" s="5">
        <v>1157220.0</v>
      </c>
      <c r="K6" s="5">
        <v>1420535.0</v>
      </c>
      <c r="L6" s="5">
        <v>8864398.0</v>
      </c>
      <c r="M6" s="5">
        <v>1.0551838E7</v>
      </c>
      <c r="N6" s="5">
        <f t="shared" si="1"/>
        <v>43858336</v>
      </c>
    </row>
    <row r="7">
      <c r="A7" s="5" t="s">
        <v>20</v>
      </c>
      <c r="B7" s="5">
        <v>452640.0</v>
      </c>
      <c r="C7" s="5">
        <v>839980.0</v>
      </c>
      <c r="D7" s="5">
        <v>519311.0</v>
      </c>
      <c r="E7" s="5">
        <v>2837996.0</v>
      </c>
      <c r="F7" s="5">
        <v>7619204.0</v>
      </c>
      <c r="G7" s="5">
        <v>322074.0</v>
      </c>
      <c r="H7" s="5">
        <v>116470.0</v>
      </c>
      <c r="I7" s="5">
        <v>534948.0</v>
      </c>
      <c r="J7" s="5">
        <v>367035.0</v>
      </c>
      <c r="K7" s="5">
        <v>170751.0</v>
      </c>
      <c r="L7" s="5">
        <v>291947.0</v>
      </c>
      <c r="M7" s="5">
        <v>2242820.0</v>
      </c>
      <c r="N7" s="5">
        <f t="shared" si="1"/>
        <v>16315176</v>
      </c>
    </row>
    <row r="8">
      <c r="A8" s="5" t="s">
        <v>19</v>
      </c>
      <c r="B8" s="5">
        <v>537063.0</v>
      </c>
      <c r="C8" s="5">
        <v>1573290.0</v>
      </c>
      <c r="D8" s="5">
        <v>637890.0</v>
      </c>
      <c r="E8" s="5">
        <v>788785.0</v>
      </c>
      <c r="F8" s="5">
        <v>349943.0</v>
      </c>
      <c r="G8" s="5">
        <v>1663829.0</v>
      </c>
      <c r="H8" s="5">
        <v>1892795.0</v>
      </c>
      <c r="I8" s="5">
        <v>999089.0</v>
      </c>
      <c r="J8" s="5">
        <v>314343.0</v>
      </c>
      <c r="K8" s="5">
        <v>3721111.0</v>
      </c>
      <c r="L8" s="5">
        <v>217324.0</v>
      </c>
      <c r="M8" s="5">
        <v>877152.0</v>
      </c>
      <c r="N8" s="5">
        <f t="shared" si="1"/>
        <v>13572614</v>
      </c>
    </row>
    <row r="9">
      <c r="A9" s="5" t="s">
        <v>21</v>
      </c>
      <c r="B9" s="6"/>
      <c r="C9" s="6"/>
      <c r="D9" s="6"/>
      <c r="E9" s="6"/>
      <c r="F9" s="6"/>
      <c r="G9" s="6"/>
      <c r="H9" s="6"/>
      <c r="I9" s="5">
        <v>80513.0</v>
      </c>
      <c r="J9" s="6"/>
      <c r="K9" s="6"/>
      <c r="L9" s="6"/>
      <c r="M9" s="5">
        <v>41742.0</v>
      </c>
      <c r="N9" s="5">
        <f t="shared" si="1"/>
        <v>122255</v>
      </c>
    </row>
    <row r="10">
      <c r="A10" s="5" t="s">
        <v>22</v>
      </c>
      <c r="B10" s="5">
        <v>1355603.0</v>
      </c>
      <c r="C10" s="5">
        <v>1210273.0</v>
      </c>
      <c r="D10" s="5">
        <v>1231755.0</v>
      </c>
      <c r="E10" s="5">
        <v>918753.0</v>
      </c>
      <c r="F10" s="5">
        <v>1077909.0</v>
      </c>
      <c r="G10" s="5">
        <v>1132963.0</v>
      </c>
      <c r="H10" s="5">
        <v>1806883.0</v>
      </c>
      <c r="I10" s="5">
        <v>1359973.0</v>
      </c>
      <c r="J10" s="5">
        <v>1725000.0</v>
      </c>
      <c r="K10" s="5">
        <v>657695.0</v>
      </c>
      <c r="L10" s="5">
        <v>875000.0</v>
      </c>
      <c r="M10" s="5">
        <v>854422.0</v>
      </c>
      <c r="N10" s="5">
        <f t="shared" si="1"/>
        <v>14206229</v>
      </c>
    </row>
    <row r="11">
      <c r="A11" s="5" t="s">
        <v>23</v>
      </c>
      <c r="B11" s="5">
        <v>439480.0</v>
      </c>
      <c r="C11" s="5">
        <v>2567202.0</v>
      </c>
      <c r="D11" s="5">
        <v>5675718.0</v>
      </c>
      <c r="E11" s="5">
        <v>5011293.0</v>
      </c>
      <c r="F11" s="5">
        <v>582495.0</v>
      </c>
      <c r="G11" s="5">
        <v>1113494.0</v>
      </c>
      <c r="H11" s="5">
        <v>174684.0</v>
      </c>
      <c r="I11" s="5">
        <v>28868.0</v>
      </c>
      <c r="J11" s="5">
        <v>3481300.0</v>
      </c>
      <c r="K11" s="5">
        <v>5491732.0</v>
      </c>
      <c r="L11" s="5">
        <v>68439.0</v>
      </c>
      <c r="M11" s="5">
        <v>89224.0</v>
      </c>
      <c r="N11" s="5">
        <f t="shared" si="1"/>
        <v>24723929</v>
      </c>
    </row>
    <row r="12">
      <c r="A12" s="5" t="s">
        <v>24</v>
      </c>
      <c r="B12" s="5">
        <v>429530.0</v>
      </c>
      <c r="C12" s="5">
        <v>535371.0</v>
      </c>
      <c r="D12" s="5">
        <v>64056.0</v>
      </c>
      <c r="E12" s="5">
        <v>459859.0</v>
      </c>
      <c r="F12" s="5">
        <v>524755.0</v>
      </c>
      <c r="G12" s="5">
        <v>316813.0</v>
      </c>
      <c r="H12" s="5">
        <v>467299.0</v>
      </c>
      <c r="I12" s="5">
        <v>671929.0</v>
      </c>
      <c r="J12" s="5">
        <v>677063.0</v>
      </c>
      <c r="K12" s="5">
        <v>839361.0</v>
      </c>
      <c r="L12" s="5">
        <v>243558.0</v>
      </c>
      <c r="M12" s="5">
        <v>479754.0</v>
      </c>
      <c r="N12" s="5">
        <f t="shared" si="1"/>
        <v>5709348</v>
      </c>
    </row>
    <row r="13">
      <c r="A13" s="7" t="s">
        <v>14</v>
      </c>
      <c r="B13" s="7">
        <f t="shared" ref="B13:N13" si="2">SUM(B3:B12)</f>
        <v>5855435</v>
      </c>
      <c r="C13" s="7">
        <f t="shared" si="2"/>
        <v>11025065</v>
      </c>
      <c r="D13" s="7">
        <f t="shared" si="2"/>
        <v>8607441</v>
      </c>
      <c r="E13" s="7">
        <f t="shared" si="2"/>
        <v>15283748</v>
      </c>
      <c r="F13" s="7">
        <f t="shared" si="2"/>
        <v>14743577</v>
      </c>
      <c r="G13" s="7">
        <f t="shared" si="2"/>
        <v>8409038</v>
      </c>
      <c r="H13" s="7">
        <f t="shared" si="2"/>
        <v>6580750</v>
      </c>
      <c r="I13" s="7">
        <f t="shared" si="2"/>
        <v>6071824</v>
      </c>
      <c r="J13" s="7">
        <f t="shared" si="2"/>
        <v>8308768</v>
      </c>
      <c r="K13" s="7">
        <f t="shared" si="2"/>
        <v>12589550</v>
      </c>
      <c r="L13" s="7">
        <f t="shared" si="2"/>
        <v>10974634</v>
      </c>
      <c r="M13" s="7">
        <f t="shared" si="2"/>
        <v>15862115</v>
      </c>
      <c r="N13" s="7">
        <f t="shared" si="2"/>
        <v>124311945</v>
      </c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1">
        <v>2025.0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7</v>
      </c>
      <c r="H17" s="4" t="s">
        <v>8</v>
      </c>
      <c r="I17" s="4" t="s">
        <v>9</v>
      </c>
      <c r="J17" s="4" t="s">
        <v>10</v>
      </c>
      <c r="K17" s="4" t="s">
        <v>11</v>
      </c>
      <c r="L17" s="4" t="s">
        <v>12</v>
      </c>
      <c r="M17" s="4" t="s">
        <v>13</v>
      </c>
      <c r="N17" s="4" t="s">
        <v>14</v>
      </c>
    </row>
    <row r="18">
      <c r="A18" s="5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>
        <f t="shared" ref="N18:N27" si="3">SUM(B18:M18)</f>
        <v>0</v>
      </c>
    </row>
    <row r="19">
      <c r="A19" s="5" t="s">
        <v>16</v>
      </c>
      <c r="B19" s="5"/>
      <c r="C19" s="5"/>
      <c r="D19" s="5"/>
      <c r="E19" s="5"/>
      <c r="F19" s="5"/>
      <c r="G19" s="5"/>
      <c r="H19" s="5">
        <v>15170.0</v>
      </c>
      <c r="I19" s="5">
        <v>18663.0</v>
      </c>
      <c r="J19" s="5">
        <v>6901.0</v>
      </c>
      <c r="K19" s="5">
        <v>10417.0</v>
      </c>
      <c r="L19" s="5">
        <v>194.0</v>
      </c>
      <c r="M19" s="6"/>
      <c r="N19" s="5">
        <f t="shared" si="3"/>
        <v>51345</v>
      </c>
    </row>
    <row r="20">
      <c r="A20" s="5" t="s">
        <v>17</v>
      </c>
      <c r="B20" s="5">
        <v>155220.0</v>
      </c>
      <c r="C20" s="5">
        <v>399188.0</v>
      </c>
      <c r="D20" s="5">
        <v>797600.0</v>
      </c>
      <c r="E20" s="5">
        <v>656942.0</v>
      </c>
      <c r="F20" s="5">
        <v>246734.0</v>
      </c>
      <c r="G20" s="5">
        <v>3765019.0</v>
      </c>
      <c r="H20" s="5">
        <v>235137.0</v>
      </c>
      <c r="I20" s="5">
        <v>515867.0</v>
      </c>
      <c r="J20" s="5">
        <v>228296.0</v>
      </c>
      <c r="K20" s="5">
        <v>293459.0</v>
      </c>
      <c r="L20" s="5">
        <v>420423.0</v>
      </c>
      <c r="M20" s="5">
        <v>985395.0</v>
      </c>
      <c r="N20" s="5">
        <f t="shared" si="3"/>
        <v>8699280</v>
      </c>
      <c r="P20" s="8">
        <f>SUM(B28:G28)</f>
        <v>67362388</v>
      </c>
    </row>
    <row r="21">
      <c r="A21" s="5" t="s">
        <v>18</v>
      </c>
      <c r="B21" s="5">
        <v>2101265.0</v>
      </c>
      <c r="C21" s="5">
        <v>4184379.0</v>
      </c>
      <c r="D21" s="5">
        <v>5314493.0</v>
      </c>
      <c r="E21" s="5">
        <v>2197762.0</v>
      </c>
      <c r="F21" s="5">
        <v>1874889.0</v>
      </c>
      <c r="G21" s="5">
        <v>4109730.0</v>
      </c>
      <c r="H21" s="5">
        <v>2800948.0</v>
      </c>
      <c r="I21" s="5">
        <v>1848426.0</v>
      </c>
      <c r="J21" s="5">
        <v>2931885.0</v>
      </c>
      <c r="K21" s="5">
        <v>2083470.0</v>
      </c>
      <c r="L21" s="5">
        <v>8064877.0</v>
      </c>
      <c r="M21" s="5">
        <v>1.2404079E7</v>
      </c>
      <c r="N21" s="5">
        <f t="shared" si="3"/>
        <v>49916203</v>
      </c>
      <c r="P21" s="9">
        <f>(N43/P20)-1</f>
        <v>0.222507477</v>
      </c>
    </row>
    <row r="22">
      <c r="A22" s="5" t="s">
        <v>20</v>
      </c>
      <c r="B22" s="5">
        <v>1123541.0</v>
      </c>
      <c r="C22" s="5">
        <v>2838756.0</v>
      </c>
      <c r="D22" s="5">
        <v>397171.0</v>
      </c>
      <c r="E22" s="5">
        <v>2654052.0</v>
      </c>
      <c r="F22" s="5">
        <v>81600.0</v>
      </c>
      <c r="G22" s="5">
        <v>247954.0</v>
      </c>
      <c r="H22" s="5">
        <v>324765.0</v>
      </c>
      <c r="I22" s="5">
        <v>5167697.0</v>
      </c>
      <c r="J22" s="5">
        <v>2698293.0</v>
      </c>
      <c r="K22" s="5">
        <v>172668.0</v>
      </c>
      <c r="L22" s="5">
        <v>1088881.0</v>
      </c>
      <c r="M22" s="5">
        <v>27844.0</v>
      </c>
      <c r="N22" s="5">
        <f t="shared" si="3"/>
        <v>16823222</v>
      </c>
    </row>
    <row r="23">
      <c r="A23" s="5" t="s">
        <v>19</v>
      </c>
      <c r="B23" s="5">
        <v>2016730.0</v>
      </c>
      <c r="C23" s="5">
        <v>960416.0</v>
      </c>
      <c r="D23" s="5">
        <v>1062207.0</v>
      </c>
      <c r="E23" s="5">
        <v>711296.0</v>
      </c>
      <c r="F23" s="5">
        <v>1536199.0</v>
      </c>
      <c r="G23" s="5">
        <v>1036328.0</v>
      </c>
      <c r="H23" s="5">
        <v>1847907.0</v>
      </c>
      <c r="I23" s="5">
        <v>828797.0</v>
      </c>
      <c r="J23" s="5">
        <v>931348.0</v>
      </c>
      <c r="K23" s="5">
        <v>3596070.0</v>
      </c>
      <c r="L23" s="5">
        <v>2327387.0</v>
      </c>
      <c r="M23" s="5">
        <v>1081986.0</v>
      </c>
      <c r="N23" s="5">
        <f t="shared" si="3"/>
        <v>17936671</v>
      </c>
    </row>
    <row r="24">
      <c r="A24" s="5" t="s">
        <v>21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>
        <f t="shared" si="3"/>
        <v>0</v>
      </c>
    </row>
    <row r="25">
      <c r="A25" s="5" t="s">
        <v>22</v>
      </c>
      <c r="B25" s="5">
        <v>1647297.0</v>
      </c>
      <c r="C25" s="5">
        <v>1015997.0</v>
      </c>
      <c r="D25" s="5">
        <v>1619792.0</v>
      </c>
      <c r="E25" s="5">
        <v>1936368.0</v>
      </c>
      <c r="F25" s="5">
        <v>1280201.0</v>
      </c>
      <c r="G25" s="5">
        <v>2789063.0</v>
      </c>
      <c r="H25" s="5">
        <v>2261281.0</v>
      </c>
      <c r="I25" s="5">
        <v>1149901.0</v>
      </c>
      <c r="J25" s="5">
        <v>2149060.0</v>
      </c>
      <c r="K25" s="5">
        <v>1544478.0</v>
      </c>
      <c r="L25" s="5">
        <v>1501675.0</v>
      </c>
      <c r="M25" s="5">
        <v>1545206.0</v>
      </c>
      <c r="N25" s="5">
        <f t="shared" si="3"/>
        <v>20440319</v>
      </c>
    </row>
    <row r="26">
      <c r="A26" s="5" t="s">
        <v>23</v>
      </c>
      <c r="B26" s="5">
        <v>739024.0</v>
      </c>
      <c r="C26" s="5">
        <v>2512040.0</v>
      </c>
      <c r="D26" s="5">
        <v>1371655.0</v>
      </c>
      <c r="E26" s="5">
        <v>3649019.0</v>
      </c>
      <c r="F26" s="5">
        <v>4825370.0</v>
      </c>
      <c r="G26" s="5">
        <v>146026.0</v>
      </c>
      <c r="H26" s="5">
        <v>4046584.0</v>
      </c>
      <c r="I26" s="5">
        <v>5649944.0</v>
      </c>
      <c r="J26" s="5">
        <v>927160.0</v>
      </c>
      <c r="K26" s="5">
        <v>456773.0</v>
      </c>
      <c r="L26" s="5">
        <v>601025.0</v>
      </c>
      <c r="M26" s="5">
        <v>638116.0</v>
      </c>
      <c r="N26" s="5">
        <f t="shared" si="3"/>
        <v>25562736</v>
      </c>
    </row>
    <row r="27">
      <c r="A27" s="5" t="s">
        <v>24</v>
      </c>
      <c r="B27" s="5">
        <v>539098.0</v>
      </c>
      <c r="C27" s="5">
        <v>372418.0</v>
      </c>
      <c r="D27" s="5">
        <v>738155.0</v>
      </c>
      <c r="E27" s="5">
        <v>745031.0</v>
      </c>
      <c r="F27" s="5">
        <v>601552.0</v>
      </c>
      <c r="G27" s="5">
        <v>364811.0</v>
      </c>
      <c r="H27" s="5">
        <v>966236.0</v>
      </c>
      <c r="I27" s="5">
        <v>317380.0</v>
      </c>
      <c r="J27" s="5">
        <v>954966.0</v>
      </c>
      <c r="K27" s="5">
        <v>1048757.0</v>
      </c>
      <c r="L27" s="5">
        <v>662006.0</v>
      </c>
      <c r="M27" s="5">
        <v>496400.0</v>
      </c>
      <c r="N27" s="5">
        <f t="shared" si="3"/>
        <v>7806810</v>
      </c>
    </row>
    <row r="28">
      <c r="A28" s="7" t="s">
        <v>14</v>
      </c>
      <c r="B28" s="7">
        <f t="shared" ref="B28:N28" si="4">SUM(B19:B27)</f>
        <v>8322175</v>
      </c>
      <c r="C28" s="7">
        <f t="shared" si="4"/>
        <v>12283194</v>
      </c>
      <c r="D28" s="7">
        <f t="shared" si="4"/>
        <v>11301073</v>
      </c>
      <c r="E28" s="7">
        <f t="shared" si="4"/>
        <v>12550470</v>
      </c>
      <c r="F28" s="7">
        <f t="shared" si="4"/>
        <v>10446545</v>
      </c>
      <c r="G28" s="7">
        <f t="shared" si="4"/>
        <v>12458931</v>
      </c>
      <c r="H28" s="7">
        <f t="shared" si="4"/>
        <v>12498028</v>
      </c>
      <c r="I28" s="7">
        <f t="shared" si="4"/>
        <v>15496675</v>
      </c>
      <c r="J28" s="7">
        <f t="shared" si="4"/>
        <v>10827909</v>
      </c>
      <c r="K28" s="7">
        <f t="shared" si="4"/>
        <v>9206092</v>
      </c>
      <c r="L28" s="7">
        <f t="shared" si="4"/>
        <v>14666468</v>
      </c>
      <c r="M28" s="7">
        <f t="shared" si="4"/>
        <v>17179026</v>
      </c>
      <c r="N28" s="7">
        <f t="shared" si="4"/>
        <v>147236586</v>
      </c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>
      <c r="A31" s="1" t="s">
        <v>26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>
      <c r="A32" s="4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4" t="s">
        <v>13</v>
      </c>
      <c r="N32" s="4" t="s">
        <v>14</v>
      </c>
    </row>
    <row r="33">
      <c r="A33" s="5" t="s">
        <v>15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/>
      <c r="I33" s="6"/>
      <c r="J33" s="6"/>
      <c r="K33" s="6"/>
      <c r="L33" s="6"/>
      <c r="M33" s="6"/>
      <c r="N33" s="5">
        <f t="shared" ref="N33:N42" si="5">SUM(B33:M33)</f>
        <v>0</v>
      </c>
    </row>
    <row r="34">
      <c r="A34" s="5" t="s">
        <v>16</v>
      </c>
      <c r="B34" s="5">
        <v>14753.0</v>
      </c>
      <c r="C34" s="5">
        <v>12478.0</v>
      </c>
      <c r="D34" s="5">
        <v>0.0</v>
      </c>
      <c r="E34" s="5">
        <v>1019.0</v>
      </c>
      <c r="F34" s="5">
        <v>1194.0</v>
      </c>
      <c r="G34" s="5">
        <v>0.0</v>
      </c>
      <c r="H34" s="5"/>
      <c r="I34" s="5"/>
      <c r="J34" s="5"/>
      <c r="K34" s="5"/>
      <c r="L34" s="5"/>
      <c r="M34" s="6"/>
      <c r="N34" s="5">
        <f t="shared" si="5"/>
        <v>29444</v>
      </c>
    </row>
    <row r="35">
      <c r="A35" s="5" t="s">
        <v>17</v>
      </c>
      <c r="B35" s="5">
        <v>603090.0</v>
      </c>
      <c r="C35" s="5">
        <v>478667.0</v>
      </c>
      <c r="D35" s="5">
        <v>378696.0</v>
      </c>
      <c r="E35" s="5">
        <v>262813.0</v>
      </c>
      <c r="F35" s="5">
        <v>130779.0</v>
      </c>
      <c r="G35" s="5">
        <v>447067.0</v>
      </c>
      <c r="H35" s="5"/>
      <c r="I35" s="5"/>
      <c r="J35" s="5"/>
      <c r="K35" s="5"/>
      <c r="L35" s="5"/>
      <c r="M35" s="5"/>
      <c r="N35" s="5">
        <f t="shared" si="5"/>
        <v>2301112</v>
      </c>
    </row>
    <row r="36">
      <c r="A36" s="5" t="s">
        <v>18</v>
      </c>
      <c r="B36" s="5">
        <v>3394150.0</v>
      </c>
      <c r="C36" s="5">
        <v>4587587.0</v>
      </c>
      <c r="D36" s="5">
        <v>6041446.0</v>
      </c>
      <c r="E36" s="5">
        <v>2954830.0</v>
      </c>
      <c r="F36" s="5">
        <v>4071448.0</v>
      </c>
      <c r="G36" s="5">
        <v>5731245.0</v>
      </c>
      <c r="H36" s="5"/>
      <c r="I36" s="5"/>
      <c r="J36" s="5"/>
      <c r="K36" s="5"/>
      <c r="L36" s="5"/>
      <c r="M36" s="5"/>
      <c r="N36" s="5">
        <f t="shared" si="5"/>
        <v>26780706</v>
      </c>
    </row>
    <row r="37">
      <c r="A37" s="5" t="s">
        <v>20</v>
      </c>
      <c r="B37" s="5">
        <v>7877374.0</v>
      </c>
      <c r="C37" s="5">
        <v>537150.0</v>
      </c>
      <c r="D37" s="5">
        <v>77037.0</v>
      </c>
      <c r="E37" s="5">
        <v>1186609.0</v>
      </c>
      <c r="F37" s="5">
        <v>16784.0</v>
      </c>
      <c r="G37" s="5">
        <v>1269026.0</v>
      </c>
      <c r="H37" s="5"/>
      <c r="I37" s="5"/>
      <c r="J37" s="5"/>
      <c r="K37" s="5"/>
      <c r="L37" s="5"/>
      <c r="M37" s="5"/>
      <c r="N37" s="5">
        <f t="shared" si="5"/>
        <v>10963980</v>
      </c>
    </row>
    <row r="38">
      <c r="A38" s="5" t="s">
        <v>19</v>
      </c>
      <c r="B38" s="5">
        <v>632337.0</v>
      </c>
      <c r="C38" s="5">
        <v>1463923.0</v>
      </c>
      <c r="D38" s="5">
        <v>3227276.0</v>
      </c>
      <c r="E38" s="5">
        <v>849070.0</v>
      </c>
      <c r="F38" s="5">
        <v>720536.0</v>
      </c>
      <c r="G38" s="5">
        <v>2425265.0</v>
      </c>
      <c r="H38" s="5"/>
      <c r="I38" s="5"/>
      <c r="J38" s="5"/>
      <c r="K38" s="5"/>
      <c r="L38" s="5"/>
      <c r="M38" s="5"/>
      <c r="N38" s="5">
        <f t="shared" si="5"/>
        <v>9318407</v>
      </c>
    </row>
    <row r="39">
      <c r="A39" s="5" t="s">
        <v>21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/>
      <c r="I39" s="6"/>
      <c r="J39" s="6"/>
      <c r="K39" s="6"/>
      <c r="L39" s="6"/>
      <c r="M39" s="6"/>
      <c r="N39" s="5">
        <f t="shared" si="5"/>
        <v>0</v>
      </c>
    </row>
    <row r="40">
      <c r="A40" s="5" t="s">
        <v>22</v>
      </c>
      <c r="B40" s="5">
        <v>2324944.0</v>
      </c>
      <c r="C40" s="5">
        <v>3114667.0</v>
      </c>
      <c r="D40" s="5">
        <v>1354716.0</v>
      </c>
      <c r="E40" s="5">
        <v>1741249.0</v>
      </c>
      <c r="F40" s="5">
        <v>1110257.0</v>
      </c>
      <c r="G40" s="5">
        <v>876698.0</v>
      </c>
      <c r="H40" s="5"/>
      <c r="I40" s="5"/>
      <c r="J40" s="5"/>
      <c r="K40" s="5"/>
      <c r="L40" s="5"/>
      <c r="M40" s="5"/>
      <c r="N40" s="5">
        <f t="shared" si="5"/>
        <v>10522531</v>
      </c>
    </row>
    <row r="41">
      <c r="A41" s="5" t="s">
        <v>23</v>
      </c>
      <c r="B41" s="5">
        <v>246530.0</v>
      </c>
      <c r="C41" s="5">
        <v>448505.0</v>
      </c>
      <c r="D41" s="5">
        <v>2970776.0</v>
      </c>
      <c r="E41" s="5">
        <v>7266491.0</v>
      </c>
      <c r="F41" s="5">
        <v>2464268.0</v>
      </c>
      <c r="G41" s="5">
        <v>5605104.0</v>
      </c>
      <c r="H41" s="5"/>
      <c r="I41" s="5"/>
      <c r="J41" s="5"/>
      <c r="K41" s="5"/>
      <c r="L41" s="5"/>
      <c r="M41" s="5"/>
      <c r="N41" s="5">
        <f t="shared" si="5"/>
        <v>19001674</v>
      </c>
    </row>
    <row r="42">
      <c r="A42" s="5" t="s">
        <v>24</v>
      </c>
      <c r="B42" s="5">
        <v>597336.0</v>
      </c>
      <c r="C42" s="5">
        <v>671720.0</v>
      </c>
      <c r="D42" s="5">
        <v>452256.0</v>
      </c>
      <c r="E42" s="5">
        <v>571433.0</v>
      </c>
      <c r="F42" s="5">
        <v>625917.0</v>
      </c>
      <c r="G42" s="5">
        <v>514507.0</v>
      </c>
      <c r="H42" s="5"/>
      <c r="I42" s="5"/>
      <c r="J42" s="5"/>
      <c r="K42" s="5"/>
      <c r="L42" s="5"/>
      <c r="M42" s="5"/>
      <c r="N42" s="5">
        <f t="shared" si="5"/>
        <v>3433169</v>
      </c>
    </row>
    <row r="43">
      <c r="A43" s="7" t="s">
        <v>14</v>
      </c>
      <c r="B43" s="7">
        <f t="shared" ref="B43:N43" si="6">SUM(B34:B42)</f>
        <v>15690514</v>
      </c>
      <c r="C43" s="7">
        <f t="shared" si="6"/>
        <v>11314697</v>
      </c>
      <c r="D43" s="7">
        <f t="shared" si="6"/>
        <v>14502203</v>
      </c>
      <c r="E43" s="7">
        <f t="shared" si="6"/>
        <v>14833514</v>
      </c>
      <c r="F43" s="7">
        <f t="shared" si="6"/>
        <v>9141183</v>
      </c>
      <c r="G43" s="7">
        <f t="shared" si="6"/>
        <v>16868912</v>
      </c>
      <c r="H43" s="7">
        <f t="shared" si="6"/>
        <v>0</v>
      </c>
      <c r="I43" s="7">
        <f t="shared" si="6"/>
        <v>0</v>
      </c>
      <c r="J43" s="7">
        <f t="shared" si="6"/>
        <v>0</v>
      </c>
      <c r="K43" s="7">
        <f t="shared" si="6"/>
        <v>0</v>
      </c>
      <c r="L43" s="7">
        <f t="shared" si="6"/>
        <v>0</v>
      </c>
      <c r="M43" s="7">
        <f t="shared" si="6"/>
        <v>0</v>
      </c>
      <c r="N43" s="7">
        <f t="shared" si="6"/>
        <v>82351023</v>
      </c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>
      <c r="A46" s="1" t="s">
        <v>29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</row>
    <row r="47">
      <c r="A47" s="4" t="s">
        <v>30</v>
      </c>
      <c r="B47" s="4" t="s">
        <v>2</v>
      </c>
      <c r="C47" s="4" t="s">
        <v>3</v>
      </c>
      <c r="D47" s="4" t="s">
        <v>4</v>
      </c>
      <c r="E47" s="4" t="s">
        <v>5</v>
      </c>
      <c r="F47" s="4" t="s">
        <v>6</v>
      </c>
      <c r="G47" s="4" t="s">
        <v>7</v>
      </c>
      <c r="H47" s="4" t="s">
        <v>8</v>
      </c>
      <c r="I47" s="4" t="s">
        <v>9</v>
      </c>
      <c r="J47" s="4" t="s">
        <v>10</v>
      </c>
      <c r="K47" s="4" t="s">
        <v>11</v>
      </c>
      <c r="L47" s="4" t="s">
        <v>12</v>
      </c>
      <c r="M47" s="4" t="s">
        <v>13</v>
      </c>
      <c r="N47" s="4" t="s">
        <v>14</v>
      </c>
    </row>
    <row r="48">
      <c r="A48" s="5" t="s">
        <v>15</v>
      </c>
      <c r="B48" s="5">
        <v>39216.0</v>
      </c>
      <c r="C48" s="5">
        <v>294289.0</v>
      </c>
      <c r="D48" s="5">
        <v>324289.0</v>
      </c>
      <c r="E48" s="5">
        <v>294289.0</v>
      </c>
      <c r="F48" s="5">
        <v>294289.0</v>
      </c>
      <c r="G48" s="5">
        <v>0.0</v>
      </c>
      <c r="H48" s="5">
        <v>373522.0</v>
      </c>
      <c r="I48" s="5">
        <v>431615.0</v>
      </c>
      <c r="J48" s="5">
        <v>476818.0</v>
      </c>
      <c r="K48" s="5">
        <v>446818.0</v>
      </c>
      <c r="L48" s="5">
        <v>446818.0</v>
      </c>
      <c r="M48" s="5">
        <v>476818.0</v>
      </c>
      <c r="N48" s="5">
        <v>3898781.0</v>
      </c>
    </row>
    <row r="49">
      <c r="A49" s="5" t="s">
        <v>17</v>
      </c>
      <c r="B49" s="5">
        <v>349322.97</v>
      </c>
      <c r="C49" s="5">
        <v>709976.66</v>
      </c>
      <c r="D49" s="5">
        <v>1798297.69</v>
      </c>
      <c r="E49" s="5">
        <v>681819.52</v>
      </c>
      <c r="F49" s="5">
        <v>815333.66</v>
      </c>
      <c r="G49" s="5">
        <v>2174157.01</v>
      </c>
      <c r="H49" s="5">
        <v>1804232.54</v>
      </c>
      <c r="I49" s="5">
        <v>1216613.56</v>
      </c>
      <c r="J49" s="5">
        <v>526458.23</v>
      </c>
      <c r="K49" s="5">
        <v>1272344.09</v>
      </c>
      <c r="L49" s="5">
        <v>788660.09</v>
      </c>
      <c r="M49" s="5">
        <v>2917486.38</v>
      </c>
      <c r="N49" s="5">
        <v>1.50547024E7</v>
      </c>
    </row>
    <row r="50">
      <c r="A50" s="5" t="s">
        <v>18</v>
      </c>
      <c r="B50" s="6">
        <v>1428965.84</v>
      </c>
      <c r="C50" s="6">
        <v>5205016.64</v>
      </c>
      <c r="D50" s="6">
        <v>7049254.81</v>
      </c>
      <c r="E50" s="6">
        <v>4568396.069999999</v>
      </c>
      <c r="F50" s="6">
        <v>3638162.62</v>
      </c>
      <c r="G50" s="6">
        <v>4911794.3</v>
      </c>
      <c r="H50" s="6">
        <v>3789326.59</v>
      </c>
      <c r="I50" s="6">
        <v>2576673.15</v>
      </c>
      <c r="J50" s="6">
        <v>3907346.47</v>
      </c>
      <c r="K50" s="6">
        <v>2295940.08</v>
      </c>
      <c r="L50" s="6">
        <v>9956876.89</v>
      </c>
      <c r="M50" s="6">
        <v>1.622424081E7</v>
      </c>
      <c r="N50" s="5">
        <v>6.460326755E7</v>
      </c>
    </row>
    <row r="51">
      <c r="A51" s="5" t="s">
        <v>20</v>
      </c>
      <c r="B51" s="5">
        <v>7715758.0</v>
      </c>
      <c r="C51" s="5">
        <v>2838756.2</v>
      </c>
      <c r="D51" s="5">
        <v>342474.19</v>
      </c>
      <c r="E51" s="5">
        <v>1000000.0</v>
      </c>
      <c r="F51" s="5">
        <v>83257.01</v>
      </c>
      <c r="G51" s="5">
        <v>63972.52</v>
      </c>
      <c r="H51" s="5">
        <v>759.67</v>
      </c>
      <c r="I51" s="5">
        <v>2086845.94</v>
      </c>
      <c r="J51" s="5">
        <v>5091151.33</v>
      </c>
      <c r="K51" s="5">
        <v>1241.25</v>
      </c>
      <c r="L51" s="5">
        <v>1017043.53</v>
      </c>
      <c r="M51" s="6"/>
      <c r="N51" s="5">
        <v>2.024125964E7</v>
      </c>
    </row>
    <row r="52">
      <c r="A52" s="5" t="s">
        <v>19</v>
      </c>
      <c r="B52" s="5">
        <v>2216720.6</v>
      </c>
      <c r="C52" s="5">
        <v>1160416.39</v>
      </c>
      <c r="D52" s="5">
        <v>2562996.24</v>
      </c>
      <c r="E52" s="5">
        <v>2649588.37</v>
      </c>
      <c r="F52" s="5">
        <v>3036691.44</v>
      </c>
      <c r="G52" s="5">
        <v>3035867.92</v>
      </c>
      <c r="H52" s="5">
        <v>2247912.17</v>
      </c>
      <c r="I52" s="5">
        <v>1244170.62</v>
      </c>
      <c r="J52" s="5">
        <v>1416963.69</v>
      </c>
      <c r="K52" s="5">
        <v>4220576.74</v>
      </c>
      <c r="L52" s="5">
        <v>2932146.63</v>
      </c>
      <c r="M52" s="5">
        <v>5230849.19</v>
      </c>
      <c r="N52" s="5">
        <v>3.19549E7</v>
      </c>
    </row>
    <row r="53">
      <c r="A53" s="5" t="s">
        <v>21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>
        <v>0.0</v>
      </c>
    </row>
    <row r="54">
      <c r="A54" s="5" t="s">
        <v>22</v>
      </c>
      <c r="B54" s="5">
        <v>2247297.0</v>
      </c>
      <c r="C54" s="5">
        <v>1516629.0</v>
      </c>
      <c r="D54" s="5">
        <v>2109261.0</v>
      </c>
      <c r="E54" s="5">
        <v>2736368.0</v>
      </c>
      <c r="F54" s="5">
        <v>1780201.0</v>
      </c>
      <c r="G54" s="5">
        <v>4289063.0</v>
      </c>
      <c r="H54" s="5">
        <v>2842164.0</v>
      </c>
      <c r="I54" s="5">
        <v>1649901.0</v>
      </c>
      <c r="J54" s="5">
        <v>3149060.0</v>
      </c>
      <c r="K54" s="5">
        <v>2544478.0</v>
      </c>
      <c r="L54" s="5">
        <v>2101675.0</v>
      </c>
      <c r="M54" s="5">
        <v>1654422.0</v>
      </c>
      <c r="N54" s="5">
        <v>2.8620519E7</v>
      </c>
    </row>
    <row r="55">
      <c r="A55" s="5" t="s">
        <v>23</v>
      </c>
      <c r="B55" s="5">
        <v>1955690.99</v>
      </c>
      <c r="C55" s="5">
        <v>3728707.74</v>
      </c>
      <c r="D55" s="5">
        <v>2588312.73</v>
      </c>
      <c r="E55" s="5">
        <v>4848590.83</v>
      </c>
      <c r="F55" s="5">
        <v>6041959.38</v>
      </c>
      <c r="G55" s="5">
        <v>1362692.18</v>
      </c>
      <c r="H55" s="5">
        <v>5263250.98</v>
      </c>
      <c r="I55" s="5">
        <v>7835926.84</v>
      </c>
      <c r="J55" s="5">
        <v>2092612.01</v>
      </c>
      <c r="K55" s="5">
        <v>1724700.9</v>
      </c>
      <c r="L55" s="5">
        <v>1812339.0</v>
      </c>
      <c r="M55" s="5">
        <v>1878158.5</v>
      </c>
      <c r="N55" s="5">
        <v>4.113294208E7</v>
      </c>
    </row>
    <row r="56">
      <c r="A56" s="5" t="s">
        <v>24</v>
      </c>
      <c r="B56" s="5">
        <v>1209284.07</v>
      </c>
      <c r="C56" s="5">
        <v>1068369.31</v>
      </c>
      <c r="D56" s="5">
        <v>1423036.29</v>
      </c>
      <c r="E56" s="5">
        <v>1418879.06</v>
      </c>
      <c r="F56" s="5">
        <v>1272439.89</v>
      </c>
      <c r="G56" s="5">
        <v>1007451.93</v>
      </c>
      <c r="H56" s="5">
        <v>1681263.31</v>
      </c>
      <c r="I56" s="5">
        <v>897767.59</v>
      </c>
      <c r="J56" s="5">
        <v>1689005.27</v>
      </c>
      <c r="K56" s="5">
        <v>1765675.14</v>
      </c>
      <c r="L56" s="5">
        <v>1361205.8</v>
      </c>
      <c r="M56" s="5">
        <v>1162598.39</v>
      </c>
      <c r="N56" s="5">
        <v>1.595697605E7</v>
      </c>
    </row>
    <row r="57">
      <c r="A57" s="7" t="s">
        <v>14</v>
      </c>
      <c r="B57" s="7">
        <v>1.716225547E7</v>
      </c>
      <c r="C57" s="7">
        <v>1.652216094E7</v>
      </c>
      <c r="D57" s="7">
        <v>1.819792195E7</v>
      </c>
      <c r="E57" s="7">
        <v>1.819793085E7</v>
      </c>
      <c r="F57" s="7">
        <v>1.6962334E7</v>
      </c>
      <c r="G57" s="7">
        <v>1.684499886E7</v>
      </c>
      <c r="H57" s="7">
        <v>1.800243126E7</v>
      </c>
      <c r="I57" s="7">
        <v>1.79395137E7</v>
      </c>
      <c r="J57" s="7">
        <v>1.8349415E7</v>
      </c>
      <c r="K57" s="7">
        <v>1.42717742E7</v>
      </c>
      <c r="L57" s="7">
        <v>2.041676494E7</v>
      </c>
      <c r="M57" s="7">
        <v>2.954457327E7</v>
      </c>
      <c r="N57" s="7">
        <v>2.2241207444E8</v>
      </c>
    </row>
    <row r="62">
      <c r="H62" s="8">
        <f>N57</f>
        <v>222412074.4</v>
      </c>
    </row>
    <row r="63">
      <c r="H63" s="10">
        <f>N43/H62</f>
        <v>0.3702632746</v>
      </c>
    </row>
  </sheetData>
  <mergeCells count="4">
    <mergeCell ref="A1:N1"/>
    <mergeCell ref="A16:N16"/>
    <mergeCell ref="A31:N31"/>
    <mergeCell ref="A46:N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5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>
        <f t="shared" ref="N3:N10" si="1">SUM(B3:M3)</f>
        <v>0</v>
      </c>
    </row>
    <row r="4">
      <c r="A4" s="5" t="s">
        <v>17</v>
      </c>
      <c r="B4" s="6"/>
      <c r="C4" s="6"/>
      <c r="D4" s="6"/>
      <c r="E4" s="6"/>
      <c r="F4" s="6"/>
      <c r="G4" s="5">
        <v>152050.0</v>
      </c>
      <c r="H4" s="5">
        <v>1427.0</v>
      </c>
      <c r="I4" s="5">
        <v>114931.0</v>
      </c>
      <c r="J4" s="5">
        <v>30305.0</v>
      </c>
      <c r="K4" s="6"/>
      <c r="L4" s="6"/>
      <c r="M4" s="6"/>
      <c r="N4" s="5">
        <f t="shared" si="1"/>
        <v>298713</v>
      </c>
    </row>
    <row r="5">
      <c r="A5" s="5" t="s">
        <v>18</v>
      </c>
      <c r="B5" s="6"/>
      <c r="C5" s="6"/>
      <c r="D5" s="6"/>
      <c r="E5" s="6"/>
      <c r="F5" s="6"/>
      <c r="G5" s="6"/>
      <c r="H5" s="6"/>
      <c r="I5" s="5">
        <v>1646.0</v>
      </c>
      <c r="J5" s="5">
        <v>290489.0</v>
      </c>
      <c r="K5" s="5">
        <v>396111.0</v>
      </c>
      <c r="L5" s="6"/>
      <c r="M5" s="6"/>
      <c r="N5" s="5">
        <f t="shared" si="1"/>
        <v>688246</v>
      </c>
    </row>
    <row r="6">
      <c r="A6" s="5" t="s">
        <v>19</v>
      </c>
      <c r="B6" s="5">
        <v>221728.0</v>
      </c>
      <c r="C6" s="5">
        <v>27828.0</v>
      </c>
      <c r="D6" s="5">
        <v>835374.0</v>
      </c>
      <c r="E6" s="5">
        <v>25972.0</v>
      </c>
      <c r="F6" s="5">
        <v>962661.0</v>
      </c>
      <c r="G6" s="5">
        <v>4024.0</v>
      </c>
      <c r="H6" s="5">
        <v>65162.0</v>
      </c>
      <c r="I6" s="5">
        <v>33854.0</v>
      </c>
      <c r="J6" s="6"/>
      <c r="K6" s="5">
        <v>3103717.0</v>
      </c>
      <c r="L6" s="6"/>
      <c r="M6" s="5">
        <v>4909.0</v>
      </c>
      <c r="N6" s="5">
        <f t="shared" si="1"/>
        <v>5285229</v>
      </c>
    </row>
    <row r="7">
      <c r="A7" s="5" t="s">
        <v>21</v>
      </c>
      <c r="B7" s="6"/>
      <c r="C7" s="6"/>
      <c r="D7" s="6"/>
      <c r="E7" s="6"/>
      <c r="F7" s="6"/>
      <c r="G7" s="6"/>
      <c r="H7" s="6"/>
      <c r="I7" s="5">
        <v>80513.0</v>
      </c>
      <c r="J7" s="6"/>
      <c r="K7" s="6"/>
      <c r="L7" s="6"/>
      <c r="M7" s="6"/>
      <c r="N7" s="5">
        <f t="shared" si="1"/>
        <v>80513</v>
      </c>
    </row>
    <row r="8">
      <c r="A8" s="5" t="s">
        <v>22</v>
      </c>
      <c r="B8" s="5">
        <v>596434.0</v>
      </c>
      <c r="C8" s="5">
        <v>616445.0</v>
      </c>
      <c r="D8" s="5">
        <v>611213.0</v>
      </c>
      <c r="E8" s="5">
        <v>572033.0</v>
      </c>
      <c r="F8" s="5">
        <v>-37081.0</v>
      </c>
      <c r="G8" s="5">
        <v>192887.0</v>
      </c>
      <c r="H8" s="5">
        <v>773622.0</v>
      </c>
      <c r="I8" s="5">
        <v>360684.0</v>
      </c>
      <c r="J8" s="5">
        <v>1277813.0</v>
      </c>
      <c r="K8" s="5">
        <v>-118217.0</v>
      </c>
      <c r="L8" s="5">
        <v>-13185.0</v>
      </c>
      <c r="M8" s="5">
        <v>72011.0</v>
      </c>
      <c r="N8" s="5">
        <f t="shared" si="1"/>
        <v>4904659</v>
      </c>
    </row>
    <row r="9">
      <c r="A9" s="5" t="s">
        <v>23</v>
      </c>
      <c r="B9" s="6"/>
      <c r="C9" s="5">
        <v>15300.0</v>
      </c>
      <c r="D9" s="5">
        <v>10600.0</v>
      </c>
      <c r="E9" s="6"/>
      <c r="F9" s="6"/>
      <c r="G9" s="5">
        <v>122087.0</v>
      </c>
      <c r="H9" s="5">
        <v>79303.0</v>
      </c>
      <c r="I9" s="5">
        <v>99604.0</v>
      </c>
      <c r="J9" s="5">
        <v>2217752.0</v>
      </c>
      <c r="K9" s="6"/>
      <c r="L9" s="6"/>
      <c r="M9" s="6"/>
      <c r="N9" s="5">
        <f t="shared" si="1"/>
        <v>2544646</v>
      </c>
    </row>
    <row r="10">
      <c r="A10" s="5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5">
        <f t="shared" si="1"/>
        <v>0</v>
      </c>
    </row>
    <row r="11">
      <c r="A11" s="7" t="s">
        <v>14</v>
      </c>
      <c r="B11" s="7">
        <f t="shared" ref="B11:N11" si="2">SUM(B3:B10)</f>
        <v>818162</v>
      </c>
      <c r="C11" s="7">
        <f t="shared" si="2"/>
        <v>659573</v>
      </c>
      <c r="D11" s="7">
        <f t="shared" si="2"/>
        <v>1457187</v>
      </c>
      <c r="E11" s="7">
        <f t="shared" si="2"/>
        <v>598005</v>
      </c>
      <c r="F11" s="7">
        <f t="shared" si="2"/>
        <v>925580</v>
      </c>
      <c r="G11" s="7">
        <f t="shared" si="2"/>
        <v>471048</v>
      </c>
      <c r="H11" s="7">
        <f t="shared" si="2"/>
        <v>919514</v>
      </c>
      <c r="I11" s="7">
        <f t="shared" si="2"/>
        <v>691232</v>
      </c>
      <c r="J11" s="7">
        <f t="shared" si="2"/>
        <v>3816359</v>
      </c>
      <c r="K11" s="7">
        <f t="shared" si="2"/>
        <v>3381611</v>
      </c>
      <c r="L11" s="7">
        <f t="shared" si="2"/>
        <v>-13185</v>
      </c>
      <c r="M11" s="7">
        <f t="shared" si="2"/>
        <v>76920</v>
      </c>
      <c r="N11" s="7">
        <f t="shared" si="2"/>
        <v>13802006</v>
      </c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1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>
      <c r="A15" s="4" t="s">
        <v>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4" t="s">
        <v>10</v>
      </c>
      <c r="K15" s="4" t="s">
        <v>11</v>
      </c>
      <c r="L15" s="4" t="s">
        <v>12</v>
      </c>
      <c r="M15" s="4" t="s">
        <v>13</v>
      </c>
      <c r="N15" s="4" t="s">
        <v>14</v>
      </c>
    </row>
    <row r="16">
      <c r="A16" s="5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>
        <f t="shared" ref="N16:N23" si="3">SUM(B16:M16)</f>
        <v>0</v>
      </c>
    </row>
    <row r="17">
      <c r="A17" s="5" t="s">
        <v>17</v>
      </c>
      <c r="B17" s="5">
        <v>12811.0</v>
      </c>
      <c r="C17" s="6"/>
      <c r="D17" s="5">
        <v>1535.0</v>
      </c>
      <c r="E17" s="6"/>
      <c r="F17" s="6"/>
      <c r="G17" s="5">
        <v>1361920.0</v>
      </c>
      <c r="H17" s="5">
        <v>-46513.0</v>
      </c>
      <c r="I17" s="5">
        <v>25327.0</v>
      </c>
      <c r="J17" s="5">
        <v>-1262.0</v>
      </c>
      <c r="K17" s="5">
        <v>14578.0</v>
      </c>
      <c r="L17" s="5">
        <v>87189.0</v>
      </c>
      <c r="M17" s="5">
        <v>47035.0</v>
      </c>
      <c r="N17" s="5">
        <f t="shared" si="3"/>
        <v>1502620</v>
      </c>
    </row>
    <row r="18">
      <c r="A18" s="5" t="s">
        <v>18</v>
      </c>
      <c r="B18" s="6"/>
      <c r="C18" s="5">
        <v>455711.0</v>
      </c>
      <c r="D18" s="5">
        <v>383787.0</v>
      </c>
      <c r="E18" s="5">
        <v>243460.0</v>
      </c>
      <c r="F18" s="5">
        <v>25748.0</v>
      </c>
      <c r="G18" s="6"/>
      <c r="H18" s="5">
        <v>52712.0</v>
      </c>
      <c r="I18" s="5">
        <v>165764.0</v>
      </c>
      <c r="J18" s="5">
        <v>120472.0</v>
      </c>
      <c r="K18" s="5">
        <v>104675.0</v>
      </c>
      <c r="L18" s="5">
        <v>94463.0</v>
      </c>
      <c r="M18" s="5">
        <v>148223.0</v>
      </c>
      <c r="N18" s="5">
        <f t="shared" si="3"/>
        <v>1795015</v>
      </c>
    </row>
    <row r="19">
      <c r="A19" s="5" t="s">
        <v>19</v>
      </c>
      <c r="B19" s="6"/>
      <c r="C19" s="5">
        <v>178969.0</v>
      </c>
      <c r="D19" s="5">
        <v>93594.0</v>
      </c>
      <c r="E19" s="5">
        <v>392421.0</v>
      </c>
      <c r="F19" s="5">
        <v>1309642.0</v>
      </c>
      <c r="G19" s="5">
        <v>608836.0</v>
      </c>
      <c r="H19" s="5">
        <v>50798.0</v>
      </c>
      <c r="I19" s="5">
        <v>224462.0</v>
      </c>
      <c r="J19" s="5">
        <v>607670.0</v>
      </c>
      <c r="K19" s="5">
        <v>594738.0</v>
      </c>
      <c r="L19" s="5">
        <v>1834635.0</v>
      </c>
      <c r="M19" s="5">
        <v>262479.0</v>
      </c>
      <c r="N19" s="5">
        <f t="shared" si="3"/>
        <v>6158244</v>
      </c>
    </row>
    <row r="20">
      <c r="A20" s="5" t="s">
        <v>21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>
        <f t="shared" si="3"/>
        <v>0</v>
      </c>
    </row>
    <row r="21">
      <c r="A21" s="5" t="s">
        <v>22</v>
      </c>
      <c r="B21" s="5">
        <v>291693.0</v>
      </c>
      <c r="C21" s="5">
        <v>-194277.0</v>
      </c>
      <c r="D21" s="5">
        <v>388037.0</v>
      </c>
      <c r="E21" s="5">
        <v>1017615.0</v>
      </c>
      <c r="F21" s="5">
        <v>202292.0</v>
      </c>
      <c r="G21" s="5">
        <v>1656099.0</v>
      </c>
      <c r="H21" s="5">
        <v>454397.0</v>
      </c>
      <c r="I21" s="5">
        <v>-210073.0</v>
      </c>
      <c r="J21" s="5">
        <v>424060.0</v>
      </c>
      <c r="K21" s="5">
        <v>886784.0</v>
      </c>
      <c r="L21" s="5">
        <v>626676.0</v>
      </c>
      <c r="M21" s="5">
        <v>690784.0</v>
      </c>
      <c r="N21" s="5">
        <f t="shared" si="3"/>
        <v>6234087</v>
      </c>
      <c r="P21" s="9">
        <f>(N24/N11)-1</f>
        <v>0.5423563792</v>
      </c>
    </row>
    <row r="22">
      <c r="A22" s="5" t="s">
        <v>23</v>
      </c>
      <c r="B22" s="6"/>
      <c r="C22" s="5">
        <v>520000.0</v>
      </c>
      <c r="D22" s="5">
        <v>31745.0</v>
      </c>
      <c r="E22" s="5">
        <v>37210.0</v>
      </c>
      <c r="F22" s="5">
        <v>24328.0</v>
      </c>
      <c r="G22" s="5">
        <v>31394.0</v>
      </c>
      <c r="H22" s="5">
        <v>40651.0</v>
      </c>
      <c r="I22" s="5">
        <v>1698800.0</v>
      </c>
      <c r="J22" s="5">
        <v>492379.0</v>
      </c>
      <c r="K22" s="5">
        <v>202011.0</v>
      </c>
      <c r="L22" s="5">
        <v>1162581.0</v>
      </c>
      <c r="M22" s="5">
        <v>556352.0</v>
      </c>
      <c r="N22" s="5">
        <f t="shared" si="3"/>
        <v>4797451</v>
      </c>
    </row>
    <row r="23">
      <c r="A23" s="5" t="s">
        <v>24</v>
      </c>
      <c r="B23" s="5">
        <v>3124.0</v>
      </c>
      <c r="C23" s="5">
        <v>11528.0</v>
      </c>
      <c r="D23" s="5">
        <v>52918.0</v>
      </c>
      <c r="E23" s="5">
        <v>46070.0</v>
      </c>
      <c r="F23" s="5">
        <v>85210.0</v>
      </c>
      <c r="G23" s="5">
        <v>82458.0</v>
      </c>
      <c r="H23" s="5">
        <v>101023.0</v>
      </c>
      <c r="I23" s="5">
        <v>60238.0</v>
      </c>
      <c r="J23" s="5">
        <v>81378.0</v>
      </c>
      <c r="K23" s="5">
        <v>74245.0</v>
      </c>
      <c r="L23" s="5">
        <v>128678.0</v>
      </c>
      <c r="M23" s="5">
        <v>73325.0</v>
      </c>
      <c r="N23" s="5">
        <f t="shared" si="3"/>
        <v>800195</v>
      </c>
    </row>
    <row r="24">
      <c r="A24" s="7" t="s">
        <v>14</v>
      </c>
      <c r="B24" s="7">
        <f t="shared" ref="B24:N24" si="4">SUM(B16:B23)</f>
        <v>307628</v>
      </c>
      <c r="C24" s="7">
        <f t="shared" si="4"/>
        <v>971931</v>
      </c>
      <c r="D24" s="7">
        <f t="shared" si="4"/>
        <v>951616</v>
      </c>
      <c r="E24" s="7">
        <f t="shared" si="4"/>
        <v>1736776</v>
      </c>
      <c r="F24" s="7">
        <f t="shared" si="4"/>
        <v>1647220</v>
      </c>
      <c r="G24" s="7">
        <f t="shared" si="4"/>
        <v>3740707</v>
      </c>
      <c r="H24" s="7">
        <f t="shared" si="4"/>
        <v>653068</v>
      </c>
      <c r="I24" s="7">
        <f t="shared" si="4"/>
        <v>1964518</v>
      </c>
      <c r="J24" s="7">
        <f t="shared" si="4"/>
        <v>1724697</v>
      </c>
      <c r="K24" s="7">
        <f t="shared" si="4"/>
        <v>1877031</v>
      </c>
      <c r="L24" s="7">
        <f t="shared" si="4"/>
        <v>3934222</v>
      </c>
      <c r="M24" s="7">
        <f t="shared" si="4"/>
        <v>1778198</v>
      </c>
      <c r="N24" s="7">
        <f t="shared" si="4"/>
        <v>21287612</v>
      </c>
      <c r="P24" s="8">
        <f>SUM(B24:G24)</f>
        <v>9355878</v>
      </c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P25" s="10">
        <f>(N36/P24)-1</f>
        <v>-0.2558514551</v>
      </c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>
      <c r="A27" s="1" t="s">
        <v>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>
      <c r="A28" s="4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4" t="s">
        <v>10</v>
      </c>
      <c r="K28" s="4" t="s">
        <v>11</v>
      </c>
      <c r="L28" s="4" t="s">
        <v>12</v>
      </c>
      <c r="M28" s="4" t="s">
        <v>13</v>
      </c>
      <c r="N28" s="4" t="s">
        <v>14</v>
      </c>
    </row>
    <row r="29">
      <c r="A29" s="5" t="s">
        <v>15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6"/>
      <c r="I29" s="6"/>
      <c r="J29" s="6"/>
      <c r="K29" s="6"/>
      <c r="L29" s="6"/>
      <c r="M29" s="6"/>
      <c r="N29" s="5">
        <f t="shared" ref="N29:N35" si="5">SUM(B29:M29)</f>
        <v>0</v>
      </c>
    </row>
    <row r="30">
      <c r="A30" s="5" t="s">
        <v>17</v>
      </c>
      <c r="B30" s="5">
        <v>4319.0</v>
      </c>
      <c r="C30" s="5">
        <v>12622.0</v>
      </c>
      <c r="D30" s="5">
        <v>26406.0</v>
      </c>
      <c r="E30" s="5">
        <v>24485.0</v>
      </c>
      <c r="F30" s="5">
        <v>7876.0</v>
      </c>
      <c r="G30" s="5">
        <v>8041.0</v>
      </c>
      <c r="H30" s="6"/>
      <c r="I30" s="6"/>
      <c r="J30" s="6"/>
      <c r="K30" s="6"/>
      <c r="L30" s="6"/>
      <c r="M30" s="6"/>
      <c r="N30" s="5">
        <f t="shared" si="5"/>
        <v>83749</v>
      </c>
    </row>
    <row r="31">
      <c r="A31" s="5" t="s">
        <v>18</v>
      </c>
      <c r="B31" s="5">
        <v>156691.0</v>
      </c>
      <c r="C31" s="5">
        <v>2335708.0</v>
      </c>
      <c r="D31" s="5">
        <v>173018.0</v>
      </c>
      <c r="E31" s="5">
        <v>346255.0</v>
      </c>
      <c r="F31" s="5">
        <v>474088.0</v>
      </c>
      <c r="G31" s="5">
        <v>98789.0</v>
      </c>
      <c r="H31" s="6"/>
      <c r="I31" s="6"/>
      <c r="J31" s="6"/>
      <c r="K31" s="6"/>
      <c r="L31" s="6"/>
      <c r="M31" s="6"/>
      <c r="N31" s="5">
        <f t="shared" si="5"/>
        <v>3584549</v>
      </c>
    </row>
    <row r="32">
      <c r="A32" s="5" t="s">
        <v>19</v>
      </c>
      <c r="B32" s="5">
        <v>132912.0</v>
      </c>
      <c r="C32" s="5">
        <v>95211.0</v>
      </c>
      <c r="D32" s="5">
        <v>134291.0</v>
      </c>
      <c r="E32" s="5">
        <v>243045.0</v>
      </c>
      <c r="F32" s="5">
        <v>138129.0</v>
      </c>
      <c r="G32" s="5">
        <v>1639698.0</v>
      </c>
      <c r="H32" s="6"/>
      <c r="I32" s="6"/>
      <c r="J32" s="6"/>
      <c r="K32" s="6"/>
      <c r="L32" s="6"/>
      <c r="M32" s="6"/>
      <c r="N32" s="5">
        <f t="shared" si="5"/>
        <v>2383286</v>
      </c>
    </row>
    <row r="33">
      <c r="A33" s="5" t="s">
        <v>22</v>
      </c>
      <c r="B33" s="5">
        <v>677647.0</v>
      </c>
      <c r="C33" s="5">
        <v>2098670.0</v>
      </c>
      <c r="D33" s="5">
        <v>-265076.0</v>
      </c>
      <c r="E33" s="5">
        <v>-195119.0</v>
      </c>
      <c r="F33" s="5">
        <v>-169944.0</v>
      </c>
      <c r="G33" s="5">
        <v>-1912364.0</v>
      </c>
      <c r="H33" s="6"/>
      <c r="I33" s="6"/>
      <c r="J33" s="6"/>
      <c r="K33" s="6"/>
      <c r="L33" s="6"/>
      <c r="M33" s="6"/>
      <c r="N33" s="5">
        <f t="shared" si="5"/>
        <v>233814</v>
      </c>
    </row>
    <row r="34">
      <c r="A34" s="5" t="s">
        <v>23</v>
      </c>
      <c r="B34" s="5">
        <v>95738.0</v>
      </c>
      <c r="C34" s="5">
        <v>44194.0</v>
      </c>
      <c r="D34" s="5">
        <v>76020.0</v>
      </c>
      <c r="E34" s="5">
        <v>0.0</v>
      </c>
      <c r="F34" s="5">
        <v>0.0</v>
      </c>
      <c r="G34" s="5">
        <v>0.0</v>
      </c>
      <c r="H34" s="6"/>
      <c r="I34" s="6"/>
      <c r="J34" s="6"/>
      <c r="K34" s="6"/>
      <c r="L34" s="6"/>
      <c r="M34" s="6"/>
      <c r="N34" s="5">
        <f t="shared" si="5"/>
        <v>215952</v>
      </c>
    </row>
    <row r="35">
      <c r="A35" s="5" t="s">
        <v>24</v>
      </c>
      <c r="B35" s="5">
        <v>44101.0</v>
      </c>
      <c r="C35" s="5">
        <v>72940.0</v>
      </c>
      <c r="D35" s="5">
        <v>103426.0</v>
      </c>
      <c r="E35" s="5">
        <v>75419.0</v>
      </c>
      <c r="F35" s="5">
        <v>66426.0</v>
      </c>
      <c r="G35" s="5">
        <v>98501.0</v>
      </c>
      <c r="H35" s="6"/>
      <c r="I35" s="6"/>
      <c r="J35" s="6"/>
      <c r="K35" s="6"/>
      <c r="L35" s="6"/>
      <c r="M35" s="6"/>
      <c r="N35" s="5">
        <f t="shared" si="5"/>
        <v>460813</v>
      </c>
    </row>
    <row r="36">
      <c r="A36" s="7" t="s">
        <v>14</v>
      </c>
      <c r="B36" s="7">
        <f t="shared" ref="B36:N36" si="6">SUM(B29:B35)</f>
        <v>1111408</v>
      </c>
      <c r="C36" s="7">
        <f t="shared" si="6"/>
        <v>4659345</v>
      </c>
      <c r="D36" s="7">
        <f t="shared" si="6"/>
        <v>248085</v>
      </c>
      <c r="E36" s="7">
        <f t="shared" si="6"/>
        <v>494085</v>
      </c>
      <c r="F36" s="7">
        <f t="shared" si="6"/>
        <v>516575</v>
      </c>
      <c r="G36" s="7">
        <f t="shared" si="6"/>
        <v>-67335</v>
      </c>
      <c r="H36" s="7">
        <f t="shared" si="6"/>
        <v>0</v>
      </c>
      <c r="I36" s="7">
        <f t="shared" si="6"/>
        <v>0</v>
      </c>
      <c r="J36" s="7">
        <f t="shared" si="6"/>
        <v>0</v>
      </c>
      <c r="K36" s="7">
        <f t="shared" si="6"/>
        <v>0</v>
      </c>
      <c r="L36" s="7">
        <f t="shared" si="6"/>
        <v>0</v>
      </c>
      <c r="M36" s="7">
        <f t="shared" si="6"/>
        <v>0</v>
      </c>
      <c r="N36" s="7">
        <f t="shared" si="6"/>
        <v>6962163</v>
      </c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>
      <c r="A39" s="1" t="s">
        <v>28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4" t="s">
        <v>9</v>
      </c>
      <c r="J40" s="4" t="s">
        <v>10</v>
      </c>
      <c r="K40" s="4" t="s">
        <v>11</v>
      </c>
      <c r="L40" s="4" t="s">
        <v>12</v>
      </c>
      <c r="M40" s="4" t="s">
        <v>13</v>
      </c>
      <c r="N40" s="4" t="s">
        <v>14</v>
      </c>
    </row>
    <row r="41">
      <c r="A41" s="5" t="s">
        <v>15</v>
      </c>
      <c r="B41" s="5">
        <v>39216.0</v>
      </c>
      <c r="C41" s="5">
        <v>294289.0</v>
      </c>
      <c r="D41" s="5">
        <v>324289.0</v>
      </c>
      <c r="E41" s="5">
        <v>294289.0</v>
      </c>
      <c r="F41" s="5">
        <v>294289.0</v>
      </c>
      <c r="G41" s="6"/>
      <c r="H41" s="5">
        <v>373522.0</v>
      </c>
      <c r="I41" s="5">
        <v>431615.0</v>
      </c>
      <c r="J41" s="5">
        <v>476818.0</v>
      </c>
      <c r="K41" s="5">
        <v>446818.0</v>
      </c>
      <c r="L41" s="5">
        <v>446818.0</v>
      </c>
      <c r="M41" s="5">
        <v>476818.0</v>
      </c>
      <c r="N41" s="5">
        <f t="shared" ref="N41:N47" si="7">SUM(B41:M41)</f>
        <v>3898781</v>
      </c>
    </row>
    <row r="42">
      <c r="A42" s="5" t="s">
        <v>17</v>
      </c>
      <c r="B42" s="5">
        <v>200000.0</v>
      </c>
      <c r="C42" s="5">
        <v>300000.0</v>
      </c>
      <c r="D42" s="5">
        <v>1000000.0</v>
      </c>
      <c r="E42" s="5">
        <v>450000.0</v>
      </c>
      <c r="F42" s="5">
        <v>600000.0</v>
      </c>
      <c r="G42" s="5">
        <v>600000.0</v>
      </c>
      <c r="H42" s="5">
        <v>1500000.0</v>
      </c>
      <c r="I42" s="5">
        <v>800000.0</v>
      </c>
      <c r="J42" s="5">
        <v>300000.0</v>
      </c>
      <c r="K42" s="5">
        <v>1000000.0</v>
      </c>
      <c r="L42" s="5">
        <v>500000.0</v>
      </c>
      <c r="M42" s="5">
        <v>2000000.0</v>
      </c>
      <c r="N42" s="5">
        <f t="shared" si="7"/>
        <v>9250000</v>
      </c>
    </row>
    <row r="43">
      <c r="A43" s="5" t="s">
        <v>18</v>
      </c>
      <c r="B43" s="5">
        <v>200000.0</v>
      </c>
      <c r="C43" s="5">
        <v>500000.0</v>
      </c>
      <c r="D43" s="5">
        <v>1300000.0</v>
      </c>
      <c r="E43" s="5">
        <v>900000.0</v>
      </c>
      <c r="F43" s="5">
        <v>1800000.0</v>
      </c>
      <c r="G43" s="5">
        <v>600000.0</v>
      </c>
      <c r="H43" s="5">
        <v>1300000.0</v>
      </c>
      <c r="I43" s="5">
        <v>2000000.0</v>
      </c>
      <c r="J43" s="5">
        <v>1000000.0</v>
      </c>
      <c r="K43" s="5">
        <v>1000000.0</v>
      </c>
      <c r="L43" s="5">
        <v>1000000.0</v>
      </c>
      <c r="M43" s="5">
        <v>3000000.0</v>
      </c>
      <c r="N43" s="5">
        <f t="shared" si="7"/>
        <v>14600000</v>
      </c>
    </row>
    <row r="44">
      <c r="A44" s="5" t="s">
        <v>19</v>
      </c>
      <c r="B44" s="5">
        <v>200000.0</v>
      </c>
      <c r="C44" s="5">
        <v>200000.0</v>
      </c>
      <c r="D44" s="5">
        <v>1500000.0</v>
      </c>
      <c r="E44" s="5">
        <v>2000000.0</v>
      </c>
      <c r="F44" s="5">
        <v>1500000.0</v>
      </c>
      <c r="G44" s="5">
        <v>2000000.0</v>
      </c>
      <c r="H44" s="5">
        <v>400000.0</v>
      </c>
      <c r="I44" s="5">
        <v>600000.0</v>
      </c>
      <c r="J44" s="5">
        <v>500000.0</v>
      </c>
      <c r="K44" s="5">
        <v>600000.0</v>
      </c>
      <c r="L44" s="5">
        <v>600000.0</v>
      </c>
      <c r="M44" s="5">
        <v>4500000.0</v>
      </c>
      <c r="N44" s="5">
        <f t="shared" si="7"/>
        <v>14600000</v>
      </c>
    </row>
    <row r="45">
      <c r="A45" s="5" t="s">
        <v>22</v>
      </c>
      <c r="B45" s="5">
        <v>600000.0</v>
      </c>
      <c r="C45" s="5">
        <v>500000.0</v>
      </c>
      <c r="D45" s="5">
        <v>600000.0</v>
      </c>
      <c r="E45" s="5">
        <v>800000.0</v>
      </c>
      <c r="F45" s="5">
        <v>500000.0</v>
      </c>
      <c r="G45" s="5">
        <v>1500000.0</v>
      </c>
      <c r="H45" s="5">
        <v>600000.0</v>
      </c>
      <c r="I45" s="5">
        <v>500000.0</v>
      </c>
      <c r="J45" s="5">
        <v>1000000.0</v>
      </c>
      <c r="K45" s="5">
        <v>1000000.0</v>
      </c>
      <c r="L45" s="5">
        <v>600000.0</v>
      </c>
      <c r="M45" s="5">
        <v>800000.0</v>
      </c>
      <c r="N45" s="5">
        <f t="shared" si="7"/>
        <v>9000000</v>
      </c>
    </row>
    <row r="46">
      <c r="A46" s="5" t="s">
        <v>23</v>
      </c>
      <c r="B46" s="5">
        <v>1216666.67</v>
      </c>
      <c r="C46" s="5">
        <v>1216666.67</v>
      </c>
      <c r="D46" s="5">
        <v>1216666.67</v>
      </c>
      <c r="E46" s="5">
        <v>1216666.67</v>
      </c>
      <c r="F46" s="5">
        <v>1216666.67</v>
      </c>
      <c r="G46" s="5">
        <v>1216666.67</v>
      </c>
      <c r="H46" s="5">
        <v>1216666.67</v>
      </c>
      <c r="I46" s="5">
        <v>1216666.67</v>
      </c>
      <c r="J46" s="5">
        <v>1216666.67</v>
      </c>
      <c r="K46" s="5">
        <v>1216666.67</v>
      </c>
      <c r="L46" s="5">
        <v>1216666.67</v>
      </c>
      <c r="M46" s="5">
        <v>1216666.67</v>
      </c>
      <c r="N46" s="5">
        <f t="shared" si="7"/>
        <v>14600000.04</v>
      </c>
    </row>
    <row r="47">
      <c r="A47" s="5" t="s">
        <v>24</v>
      </c>
      <c r="B47" s="5">
        <v>608333.33</v>
      </c>
      <c r="C47" s="5">
        <v>608333.33</v>
      </c>
      <c r="D47" s="5">
        <v>608333.33</v>
      </c>
      <c r="E47" s="5">
        <v>608333.33</v>
      </c>
      <c r="F47" s="5">
        <v>608333.33</v>
      </c>
      <c r="G47" s="5">
        <v>608333.33</v>
      </c>
      <c r="H47" s="5">
        <v>608333.33</v>
      </c>
      <c r="I47" s="5">
        <v>608333.33</v>
      </c>
      <c r="J47" s="5">
        <v>608333.33</v>
      </c>
      <c r="K47" s="5">
        <v>608333.33</v>
      </c>
      <c r="L47" s="5">
        <v>608333.33</v>
      </c>
      <c r="M47" s="5">
        <v>608333.33</v>
      </c>
      <c r="N47" s="5">
        <f t="shared" si="7"/>
        <v>7299999.96</v>
      </c>
    </row>
    <row r="48">
      <c r="A48" s="7" t="s">
        <v>14</v>
      </c>
      <c r="B48" s="7">
        <f t="shared" ref="B48:N48" si="8">SUM(B41:B47)</f>
        <v>3064216</v>
      </c>
      <c r="C48" s="7">
        <f t="shared" si="8"/>
        <v>3619289</v>
      </c>
      <c r="D48" s="7">
        <f t="shared" si="8"/>
        <v>6549289</v>
      </c>
      <c r="E48" s="7">
        <f t="shared" si="8"/>
        <v>6269289</v>
      </c>
      <c r="F48" s="7">
        <f t="shared" si="8"/>
        <v>6519289</v>
      </c>
      <c r="G48" s="7">
        <f t="shared" si="8"/>
        <v>6525000</v>
      </c>
      <c r="H48" s="7">
        <f t="shared" si="8"/>
        <v>5998522</v>
      </c>
      <c r="I48" s="7">
        <f t="shared" si="8"/>
        <v>6156615</v>
      </c>
      <c r="J48" s="7">
        <f t="shared" si="8"/>
        <v>5101818</v>
      </c>
      <c r="K48" s="7">
        <f t="shared" si="8"/>
        <v>5871818</v>
      </c>
      <c r="L48" s="7">
        <f t="shared" si="8"/>
        <v>4971818</v>
      </c>
      <c r="M48" s="7">
        <f t="shared" si="8"/>
        <v>12601818</v>
      </c>
      <c r="N48" s="7">
        <f t="shared" si="8"/>
        <v>73248781</v>
      </c>
    </row>
    <row r="52">
      <c r="I52" s="8">
        <f>SUM(B48:G48)</f>
        <v>32546372</v>
      </c>
    </row>
    <row r="53">
      <c r="I53" s="9">
        <f>(N36/I52)-1</f>
        <v>-0.7860848208</v>
      </c>
    </row>
  </sheetData>
  <mergeCells count="4">
    <mergeCell ref="A1:N1"/>
    <mergeCell ref="A14:N14"/>
    <mergeCell ref="A27:N27"/>
    <mergeCell ref="A39:N39"/>
  </mergeCells>
  <drawing r:id="rId1"/>
</worksheet>
</file>